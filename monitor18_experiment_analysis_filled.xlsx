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86C42AA8-F292-46C0-88AA-120460CFFF2A}" xr6:coauthVersionLast="47" xr6:coauthVersionMax="47" xr10:uidLastSave="{00000000-0000-0000-0000-000000000000}"/>
  <bookViews>
    <workbookView xWindow="0" yWindow="360" windowWidth="23256" windowHeight="12456" activeTab="4" xr2:uid="{00000000-000D-0000-FFFF-FFFF00000000}"/>
  </bookViews>
  <sheets>
    <sheet name="Overview" sheetId="1" r:id="rId1"/>
    <sheet name="Settings" sheetId="2" r:id="rId2"/>
    <sheet name="Daily Summary" sheetId="3" r:id="rId3"/>
    <sheet name="Top Events" sheetId="4" r:id="rId4"/>
    <sheet name="Dashboard" sheetId="5" r:id="rId5"/>
    <sheet name="Analysis" sheetId="6" r:id="rId6"/>
    <sheet name="Sources" sheetId="7" r:id="rId7"/>
  </sheets>
  <calcPr calcId="0"/>
</workbook>
</file>

<file path=xl/sharedStrings.xml><?xml version="1.0" encoding="utf-8"?>
<sst xmlns="http://schemas.openxmlformats.org/spreadsheetml/2006/main" count="325" uniqueCount="180">
  <si>
    <t>Monitor 18 Experiment Workbook</t>
  </si>
  <si>
    <t>Purpose</t>
  </si>
  <si>
    <t>Actual settings and experiment summaries extracted from the uploaded screenshots for Monitor 18.</t>
  </si>
  <si>
    <t>What was added</t>
  </si>
  <si>
    <t>2 actual setting screenshots, 3 daily result screenshots, top-10 events per run, and a written analysis.</t>
  </si>
  <si>
    <t>Important note</t>
  </si>
  <si>
    <t>Experiment 3 settings were not visible in a screenshot. They are marked as 'inferred/unknown' based on your note that they were slightly increased from Experiment 2.</t>
  </si>
  <si>
    <t>Experiment map</t>
  </si>
  <si>
    <t>Exp #</t>
  </si>
  <si>
    <t>Experiment</t>
  </si>
  <si>
    <t>Date</t>
  </si>
  <si>
    <t>Setting source</t>
  </si>
  <si>
    <t>Result source</t>
  </si>
  <si>
    <t>Monitor</t>
  </si>
  <si>
    <t>Comment</t>
  </si>
  <si>
    <t>Balanced Noise Reduction</t>
  </si>
  <si>
    <t>EXP-1.PNG</t>
  </si>
  <si>
    <t>exp1.png</t>
  </si>
  <si>
    <t>Full setting screenshot available</t>
  </si>
  <si>
    <t>Moderate Filtering</t>
  </si>
  <si>
    <t>EXP-2.PNG</t>
  </si>
  <si>
    <t>exp2.png</t>
  </si>
  <si>
    <t>Slight Increase from Exp 2</t>
  </si>
  <si>
    <t>Not uploaded</t>
  </si>
  <si>
    <t>exp3.png</t>
  </si>
  <si>
    <t>Only results screenshot available</t>
  </si>
  <si>
    <t>Monitor 18 – Settings Comparison</t>
  </si>
  <si>
    <t>Experiments 1 and 2 were taken directly from screenshots. Experiment 3 is marked as inferred because the exact screen was not uploaded.</t>
  </si>
  <si>
    <t>Parameter</t>
  </si>
  <si>
    <t>Unit</t>
  </si>
  <si>
    <t>Experiment 1</t>
  </si>
  <si>
    <t>Experiment 2</t>
  </si>
  <si>
    <t>Experiment 3</t>
  </si>
  <si>
    <t>Status</t>
  </si>
  <si>
    <t>Name</t>
  </si>
  <si>
    <t>Litter zone</t>
  </si>
  <si>
    <t>Litter zone (assumed same)</t>
  </si>
  <si>
    <t>Exp 3 inferred</t>
  </si>
  <si>
    <t>Type</t>
  </si>
  <si>
    <t>Active</t>
  </si>
  <si>
    <t>Active (assumed same)</t>
  </si>
  <si>
    <t>Preset</t>
  </si>
  <si>
    <t>Choose Preset</t>
  </si>
  <si>
    <t>Choose Preset (assumed same)</t>
  </si>
  <si>
    <t>Units</t>
  </si>
  <si>
    <t>Percent</t>
  </si>
  <si>
    <t>Percent (assumed same)</t>
  </si>
  <si>
    <t>Alarm Colour - Red</t>
  </si>
  <si>
    <t>Actual for Exp 1-2</t>
  </si>
  <si>
    <t>Alarm Colour - Green</t>
  </si>
  <si>
    <t>Alarm Colour - Blue</t>
  </si>
  <si>
    <t>Alarm Check Method</t>
  </si>
  <si>
    <t>Blobs</t>
  </si>
  <si>
    <t>Min Pixel Threshold</t>
  </si>
  <si>
    <t>0-255</t>
  </si>
  <si>
    <t>Slightly above 45 (exact value not shown)</t>
  </si>
  <si>
    <t>Max Pixel Threshold</t>
  </si>
  <si>
    <t>Filter Width</t>
  </si>
  <si>
    <t>pixels</t>
  </si>
  <si>
    <t>Slightly above 5 (exact value not shown)</t>
  </si>
  <si>
    <t>Filter Height</t>
  </si>
  <si>
    <t>Zone Area</t>
  </si>
  <si>
    <t>Min Alarmed Area</t>
  </si>
  <si>
    <t>Slightly above 8 (exact value not shown)</t>
  </si>
  <si>
    <t>Max Alarmed Area</t>
  </si>
  <si>
    <t>Slightly above 74.51 (exact value not shown)</t>
  </si>
  <si>
    <t>Min Filtered Area</t>
  </si>
  <si>
    <t>Max Filtered Area</t>
  </si>
  <si>
    <t>Min Blob Area</t>
  </si>
  <si>
    <t>Slightly above 7 (exact value not shown)</t>
  </si>
  <si>
    <t>Max Blob Area</t>
  </si>
  <si>
    <t>Min Blobs</t>
  </si>
  <si>
    <t>Slightly above 4 (exact value not shown)</t>
  </si>
  <si>
    <t>Max Blobs</t>
  </si>
  <si>
    <t>Overload Frame Ignore Count</t>
  </si>
  <si>
    <t>Extend Alarm Frame Count</t>
  </si>
  <si>
    <t>Evidence</t>
  </si>
  <si>
    <t>Actual screenshot: EXP-1.PNG</t>
  </si>
  <si>
    <t>Actual screenshot: EXP-2.PNG</t>
  </si>
  <si>
    <t>No screenshot uploaded; based only on user note</t>
  </si>
  <si>
    <t>Daily Experiment Summary</t>
  </si>
  <si>
    <t>Top-zone columns are stored in a raw form based on what was visible in the terminal screenshots.</t>
  </si>
  <si>
    <t>Source File</t>
  </si>
  <si>
    <t>Output Folder</t>
  </si>
  <si>
    <t>Time Range</t>
  </si>
  <si>
    <t>Total Events</t>
  </si>
  <si>
    <t>AvgMax</t>
  </si>
  <si>
    <t>PeakMax</t>
  </si>
  <si>
    <t>AvgAlarmFrames</t>
  </si>
  <si>
    <t>Top Zone 1</t>
  </si>
  <si>
    <t>Zone 1 Raw Value</t>
  </si>
  <si>
    <t>Zone 1 Score</t>
  </si>
  <si>
    <t>Top Zone 2</t>
  </si>
  <si>
    <t>Zone 2 Raw Value</t>
  </si>
  <si>
    <t>Zone 2 Score</t>
  </si>
  <si>
    <t>Notes</t>
  </si>
  <si>
    <t>exp1.png / EXP-1.PNG</t>
  </si>
  <si>
    <t>/opt/iMouseGuard/iMouseGuard/baselines/2026-02-16_230416_last_24h_m_18</t>
  </si>
  <si>
    <t>last_24h</t>
  </si>
  <si>
    <t>food zone</t>
  </si>
  <si>
    <t>exp2.png / EXP-2.PNG</t>
  </si>
  <si>
    <t>/opt/iMouseGuard/iMouseGuard/baselines/2026-02-20_015916_20260217_00_00_00_to_20260218_00_00_00_m_18</t>
  </si>
  <si>
    <t>20260217_00_00_00_to_20260218_00_00_00</t>
  </si>
  <si>
    <t>/opt/iMouseGuard/iMouseGuard/baselines/2026-02-20_020140_20260218_00_00_00_to_20260219_00_00_00_m_18</t>
  </si>
  <si>
    <t>20260218_00_00_00_to_20260219_00_00_00</t>
  </si>
  <si>
    <t>Exp 3 setting details were not in a screenshot.</t>
  </si>
  <si>
    <t>Top 10 Events by MaxScore</t>
  </si>
  <si>
    <t>Rank</t>
  </si>
  <si>
    <t>Event ID</t>
  </si>
  <si>
    <t>Start</t>
  </si>
  <si>
    <t>MaxScore</t>
  </si>
  <si>
    <t>AlarmFrames</t>
  </si>
  <si>
    <t>Avg</t>
  </si>
  <si>
    <t>Dashboard</t>
  </si>
  <si>
    <t>Core metrics by experiment</t>
  </si>
  <si>
    <t>Highest trigger count</t>
  </si>
  <si>
    <t>Largest step-down vs Exp 1</t>
  </si>
  <si>
    <t>Fewest events and lowest AvgMax/PeakMax</t>
  </si>
  <si>
    <t>Change vs previous experiment</t>
  </si>
  <si>
    <t>Comparison</t>
  </si>
  <si>
    <t>Events Change</t>
  </si>
  <si>
    <t>AvgMax Change</t>
  </si>
  <si>
    <t>PeakMax Change</t>
  </si>
  <si>
    <t>AvgAlarmFrames Change</t>
  </si>
  <si>
    <t>Best signal</t>
  </si>
  <si>
    <t>Interpretation</t>
  </si>
  <si>
    <t>Exp 2 vs Exp 1</t>
  </si>
  <si>
    <t>Much lower trigger volume</t>
  </si>
  <si>
    <t>Moderate Filtering sharply reduced noise.</t>
  </si>
  <si>
    <t>Exp 3 vs Exp 2</t>
  </si>
  <si>
    <t>Lower events + lower peaks</t>
  </si>
  <si>
    <t>Trigger count improved again, but average alarm frames increased.</t>
  </si>
  <si>
    <t>Quick take</t>
  </si>
  <si>
    <t>Metric</t>
  </si>
  <si>
    <t>Best Result</t>
  </si>
  <si>
    <t>Fewest total events</t>
  </si>
  <si>
    <t>Slight Increase from Exp 2 (424)</t>
  </si>
  <si>
    <t>Lowest AvgMax</t>
  </si>
  <si>
    <t>Slight Increase from Exp 2 (19.75)</t>
  </si>
  <si>
    <t>Lowest PeakMax</t>
  </si>
  <si>
    <t>Slight Increase from Exp 2 (96)</t>
  </si>
  <si>
    <t>Lowest AvgAlarmFrames</t>
  </si>
  <si>
    <t>Moderate Filtering (98.35)</t>
  </si>
  <si>
    <t>Analysis</t>
  </si>
  <si>
    <t>#</t>
  </si>
  <si>
    <t>Finding</t>
  </si>
  <si>
    <t>Details</t>
  </si>
  <si>
    <t>Priority</t>
  </si>
  <si>
    <t>Confidence</t>
  </si>
  <si>
    <t>Experiment 1 was the noisiest run.</t>
  </si>
  <si>
    <t>It recorded 1,211 total events, the highest AvgMax (36.48), and the highest PeakMax (123).</t>
  </si>
  <si>
    <t>High</t>
  </si>
  <si>
    <t>Experiment 2 gave the biggest improvement over Experiment 1.</t>
  </si>
  <si>
    <t>Total events dropped by 62.6%, AvgMax dropped by 29.7%, and AvgAlarmFrames dropped by 52.8%.</t>
  </si>
  <si>
    <t>Experiment 3 produced the fewest triggers overall.</t>
  </si>
  <si>
    <t>It had the lowest total events (424), lowest AvgMax (19.75), and lowest PeakMax (96).</t>
  </si>
  <si>
    <t>Experiment 2 had the shortest average alarm duration.</t>
  </si>
  <si>
    <t>AvgAlarmFrames was 98.35 in Experiment 2 versus 208.23 in Experiment 1 and 185.55 in Experiment 3.</t>
  </si>
  <si>
    <t>Medium</t>
  </si>
  <si>
    <t>Experiment 3 improved trigger count but not average alarm length.</t>
  </si>
  <si>
    <t>Compared with Experiment 2, events fell another 6.4% and PeakMax fell 18.6%, but AvgAlarmFrames increased by 88.7%.</t>
  </si>
  <si>
    <t>Best choice depends on your goal.</t>
  </si>
  <si>
    <t>Choose Experiment 3 if your main goal is minimum trigger volume/noise. Choose Experiment 2 if you want strong filtering with shorter alarm durations.</t>
  </si>
  <si>
    <t>Experiment 3 settings are incomplete.</t>
  </si>
  <si>
    <t>Only the result summary was uploaded. The exact parameter screen for Experiment 3 was not present, so those settings are marked inferred/unknown.</t>
  </si>
  <si>
    <t>Source Files Used</t>
  </si>
  <si>
    <t>File</t>
  </si>
  <si>
    <t>Used for</t>
  </si>
  <si>
    <t>Screenshot</t>
  </si>
  <si>
    <t>Experiment 1 setting values</t>
  </si>
  <si>
    <t>Balanced Noise Reduction screen</t>
  </si>
  <si>
    <t>Experiment 2 setting values</t>
  </si>
  <si>
    <t>Moderate Filtering screen</t>
  </si>
  <si>
    <t>Terminal screenshot</t>
  </si>
  <si>
    <t>Experiment 1 results</t>
  </si>
  <si>
    <t>Date 2026-02-16</t>
  </si>
  <si>
    <t>Experiment 2 results</t>
  </si>
  <si>
    <t>Date 2026-02-17</t>
  </si>
  <si>
    <t>Experiment 3 results</t>
  </si>
  <si>
    <t>Date 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</si>
</sst>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0F766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2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Events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Dashboard!$C$4</c:f>
              <c:strCache>
                <c:ptCount val="1"/>
                <c:pt idx="0">
                  <c:v>Total Events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Dashboard!$A$5:$A$7</c:f>
              <c:strCache>
                <c:ptCount val="3"/>
                <c:pt idx="0">
                  <c:v>Balanced Noise Reduction</c:v>
                </c:pt>
                <c:pt idx="1">
                  <c:v>Moderate Filtering</c:v>
                </c:pt>
                <c:pt idx="2">
                  <c:v>Slight Increase from Exp 2</c:v>
                </c:pt>
              </c:strCache>
            </c:strRef>
          </c:cat>
          <c:val>
            <c:numRef>
              <c:f>Dashboard!$C$5:$C$7</c:f>
              <c:numCache>
                <c:formatCode>General</c:formatCode>
                <c:ptCount val="3"/>
                <c:pt idx="0">
                  <c:v>1211</c:v>
                </c:pt>
                <c:pt idx="1">
                  <c:v>453</c:v>
                </c:pt>
                <c:pt idx="2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C-400E-A5B9-6226FF34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Experiment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Events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AvgAlarmFrames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Dashboard!$F$4</c:f>
              <c:strCache>
                <c:ptCount val="1"/>
                <c:pt idx="0">
                  <c:v>AvgAlarmFrames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Dashboard!$A$5:$A$7</c:f>
              <c:strCache>
                <c:ptCount val="3"/>
                <c:pt idx="0">
                  <c:v>Balanced Noise Reduction</c:v>
                </c:pt>
                <c:pt idx="1">
                  <c:v>Moderate Filtering</c:v>
                </c:pt>
                <c:pt idx="2">
                  <c:v>Slight Increase from Exp 2</c:v>
                </c:pt>
              </c:strCache>
            </c:strRef>
          </c:cat>
          <c:val>
            <c:numRef>
              <c:f>Dashboard!$F$5:$F$7</c:f>
              <c:numCache>
                <c:formatCode>0.00</c:formatCode>
                <c:ptCount val="3"/>
                <c:pt idx="0">
                  <c:v>208.23</c:v>
                </c:pt>
                <c:pt idx="1">
                  <c:v>98.35</c:v>
                </c:pt>
                <c:pt idx="2">
                  <c:v>185.55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1-4813-954A-DE1F654B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Experiment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Frames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15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7" topLeftCell="A8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14" customWidth="1"/>
    <col min="4" max="4" width="18" customWidth="1"/>
    <col min="5" max="5" width="16" customWidth="1"/>
    <col min="6" max="6" width="10" customWidth="1"/>
    <col min="7" max="7" width="34" customWidth="1"/>
  </cols>
  <sheetData>
    <row r="1" spans="1:7" ht="18" x14ac:dyDescent="0.3">
      <c r="A1" s="14" t="s">
        <v>0</v>
      </c>
      <c r="B1" s="15"/>
      <c r="C1" s="15"/>
      <c r="D1" s="15"/>
      <c r="E1" s="15"/>
      <c r="F1" s="15"/>
      <c r="G1" s="15"/>
    </row>
    <row r="2" spans="1:7" x14ac:dyDescent="0.3">
      <c r="A2" s="1"/>
      <c r="B2" s="1"/>
      <c r="C2" s="1"/>
      <c r="D2" s="1"/>
      <c r="E2" s="1"/>
      <c r="F2" s="1"/>
      <c r="G2" s="1"/>
    </row>
    <row r="3" spans="1:7" ht="57.6" x14ac:dyDescent="0.3">
      <c r="A3" s="2" t="s">
        <v>1</v>
      </c>
      <c r="B3" s="3" t="s">
        <v>2</v>
      </c>
      <c r="C3" s="1"/>
      <c r="D3" s="1"/>
      <c r="E3" s="1"/>
      <c r="F3" s="1"/>
      <c r="G3" s="1"/>
    </row>
    <row r="4" spans="1:7" ht="57.6" x14ac:dyDescent="0.3">
      <c r="A4" s="2" t="s">
        <v>3</v>
      </c>
      <c r="B4" s="3" t="s">
        <v>4</v>
      </c>
      <c r="C4" s="1"/>
      <c r="D4" s="1"/>
      <c r="E4" s="1"/>
      <c r="F4" s="1"/>
      <c r="G4" s="1"/>
    </row>
    <row r="5" spans="1:7" ht="86.4" x14ac:dyDescent="0.3">
      <c r="A5" s="2" t="s">
        <v>5</v>
      </c>
      <c r="B5" s="3" t="s">
        <v>6</v>
      </c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ht="18" x14ac:dyDescent="0.3">
      <c r="A7" s="16" t="s">
        <v>7</v>
      </c>
      <c r="B7" s="15"/>
      <c r="C7" s="15"/>
      <c r="D7" s="15"/>
      <c r="E7" s="15"/>
      <c r="F7" s="15"/>
      <c r="G7" s="15"/>
    </row>
    <row r="8" spans="1:7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 spans="1:7" x14ac:dyDescent="0.3">
      <c r="A9" s="5">
        <v>1</v>
      </c>
      <c r="B9" s="3" t="s">
        <v>15</v>
      </c>
      <c r="C9" s="6">
        <v>46069</v>
      </c>
      <c r="D9" s="3" t="s">
        <v>16</v>
      </c>
      <c r="E9" s="3" t="s">
        <v>17</v>
      </c>
      <c r="F9" s="5">
        <v>18</v>
      </c>
      <c r="G9" s="3" t="s">
        <v>18</v>
      </c>
    </row>
    <row r="10" spans="1:7" x14ac:dyDescent="0.3">
      <c r="A10" s="5">
        <v>2</v>
      </c>
      <c r="B10" s="3" t="s">
        <v>19</v>
      </c>
      <c r="C10" s="6">
        <v>46070</v>
      </c>
      <c r="D10" s="3" t="s">
        <v>20</v>
      </c>
      <c r="E10" s="3" t="s">
        <v>21</v>
      </c>
      <c r="F10" s="5">
        <v>18</v>
      </c>
      <c r="G10" s="3" t="s">
        <v>18</v>
      </c>
    </row>
    <row r="11" spans="1:7" x14ac:dyDescent="0.3">
      <c r="A11" s="5">
        <v>3</v>
      </c>
      <c r="B11" s="3" t="s">
        <v>22</v>
      </c>
      <c r="C11" s="6">
        <v>46071</v>
      </c>
      <c r="D11" s="3" t="s">
        <v>23</v>
      </c>
      <c r="E11" s="3" t="s">
        <v>24</v>
      </c>
      <c r="F11" s="5">
        <v>18</v>
      </c>
      <c r="G11" s="7" t="s">
        <v>25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pane ySplit="5" topLeftCell="A19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10" customWidth="1"/>
    <col min="3" max="4" width="22" customWidth="1"/>
    <col min="5" max="5" width="34" customWidth="1"/>
    <col min="6" max="6" width="16" customWidth="1"/>
  </cols>
  <sheetData>
    <row r="1" spans="1:6" ht="18" x14ac:dyDescent="0.3">
      <c r="A1" s="14" t="s">
        <v>26</v>
      </c>
      <c r="B1" s="15"/>
      <c r="C1" s="15"/>
      <c r="D1" s="15"/>
      <c r="E1" s="15"/>
      <c r="F1" s="15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7" t="s">
        <v>27</v>
      </c>
      <c r="B3" s="15"/>
      <c r="C3" s="15"/>
      <c r="D3" s="15"/>
      <c r="E3" s="15"/>
      <c r="F3" s="15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 spans="1:6" x14ac:dyDescent="0.3">
      <c r="A6" s="8" t="s">
        <v>34</v>
      </c>
      <c r="B6" s="5"/>
      <c r="C6" s="3" t="s">
        <v>35</v>
      </c>
      <c r="D6" s="3" t="s">
        <v>35</v>
      </c>
      <c r="E6" s="7" t="s">
        <v>36</v>
      </c>
      <c r="F6" s="9" t="s">
        <v>37</v>
      </c>
    </row>
    <row r="7" spans="1:6" x14ac:dyDescent="0.3">
      <c r="A7" s="8" t="s">
        <v>38</v>
      </c>
      <c r="B7" s="5"/>
      <c r="C7" s="3" t="s">
        <v>39</v>
      </c>
      <c r="D7" s="3" t="s">
        <v>39</v>
      </c>
      <c r="E7" s="7" t="s">
        <v>40</v>
      </c>
      <c r="F7" s="9" t="s">
        <v>37</v>
      </c>
    </row>
    <row r="8" spans="1:6" x14ac:dyDescent="0.3">
      <c r="A8" s="8" t="s">
        <v>41</v>
      </c>
      <c r="B8" s="5"/>
      <c r="C8" s="3" t="s">
        <v>42</v>
      </c>
      <c r="D8" s="3" t="s">
        <v>42</v>
      </c>
      <c r="E8" s="7" t="s">
        <v>43</v>
      </c>
      <c r="F8" s="9" t="s">
        <v>37</v>
      </c>
    </row>
    <row r="9" spans="1:6" x14ac:dyDescent="0.3">
      <c r="A9" s="8" t="s">
        <v>44</v>
      </c>
      <c r="B9" s="5"/>
      <c r="C9" s="3" t="s">
        <v>45</v>
      </c>
      <c r="D9" s="3" t="s">
        <v>45</v>
      </c>
      <c r="E9" s="7" t="s">
        <v>46</v>
      </c>
      <c r="F9" s="9" t="s">
        <v>37</v>
      </c>
    </row>
    <row r="10" spans="1:6" x14ac:dyDescent="0.3">
      <c r="A10" s="8" t="s">
        <v>47</v>
      </c>
      <c r="B10" s="5"/>
      <c r="C10" s="3">
        <v>255</v>
      </c>
      <c r="D10" s="3">
        <v>255</v>
      </c>
      <c r="E10" s="3">
        <v>255</v>
      </c>
      <c r="F10" s="5" t="s">
        <v>48</v>
      </c>
    </row>
    <row r="11" spans="1:6" x14ac:dyDescent="0.3">
      <c r="A11" s="8" t="s">
        <v>49</v>
      </c>
      <c r="B11" s="5"/>
      <c r="C11" s="3">
        <v>0</v>
      </c>
      <c r="D11" s="3">
        <v>0</v>
      </c>
      <c r="E11" s="3">
        <v>0</v>
      </c>
      <c r="F11" s="5" t="s">
        <v>48</v>
      </c>
    </row>
    <row r="12" spans="1:6" x14ac:dyDescent="0.3">
      <c r="A12" s="8" t="s">
        <v>50</v>
      </c>
      <c r="B12" s="5"/>
      <c r="C12" s="3">
        <v>0</v>
      </c>
      <c r="D12" s="3">
        <v>0</v>
      </c>
      <c r="E12" s="3">
        <v>0</v>
      </c>
      <c r="F12" s="5" t="s">
        <v>48</v>
      </c>
    </row>
    <row r="13" spans="1:6" x14ac:dyDescent="0.3">
      <c r="A13" s="8" t="s">
        <v>51</v>
      </c>
      <c r="B13" s="5"/>
      <c r="C13" s="3" t="s">
        <v>52</v>
      </c>
      <c r="D13" s="3" t="s">
        <v>52</v>
      </c>
      <c r="E13" s="3" t="s">
        <v>52</v>
      </c>
      <c r="F13" s="5" t="s">
        <v>48</v>
      </c>
    </row>
    <row r="14" spans="1:6" ht="28.8" x14ac:dyDescent="0.3">
      <c r="A14" s="8" t="s">
        <v>53</v>
      </c>
      <c r="B14" s="5" t="s">
        <v>54</v>
      </c>
      <c r="C14" s="3">
        <v>35</v>
      </c>
      <c r="D14" s="3">
        <v>45</v>
      </c>
      <c r="E14" s="7" t="s">
        <v>55</v>
      </c>
      <c r="F14" s="9" t="s">
        <v>37</v>
      </c>
    </row>
    <row r="15" spans="1:6" x14ac:dyDescent="0.3">
      <c r="A15" s="8" t="s">
        <v>56</v>
      </c>
      <c r="B15" s="5" t="s">
        <v>54</v>
      </c>
      <c r="C15" s="3"/>
      <c r="D15" s="3"/>
      <c r="E15" s="3"/>
      <c r="F15" s="5" t="s">
        <v>48</v>
      </c>
    </row>
    <row r="16" spans="1:6" x14ac:dyDescent="0.3">
      <c r="A16" s="8" t="s">
        <v>57</v>
      </c>
      <c r="B16" s="5" t="s">
        <v>58</v>
      </c>
      <c r="C16" s="3">
        <v>3</v>
      </c>
      <c r="D16" s="3">
        <v>5</v>
      </c>
      <c r="E16" s="7" t="s">
        <v>59</v>
      </c>
      <c r="F16" s="9" t="s">
        <v>37</v>
      </c>
    </row>
    <row r="17" spans="1:6" x14ac:dyDescent="0.3">
      <c r="A17" s="8" t="s">
        <v>60</v>
      </c>
      <c r="B17" s="5" t="s">
        <v>58</v>
      </c>
      <c r="C17" s="3">
        <v>3</v>
      </c>
      <c r="D17" s="3">
        <v>5</v>
      </c>
      <c r="E17" s="7" t="s">
        <v>59</v>
      </c>
      <c r="F17" s="9" t="s">
        <v>37</v>
      </c>
    </row>
    <row r="18" spans="1:6" x14ac:dyDescent="0.3">
      <c r="A18" s="8" t="s">
        <v>61</v>
      </c>
      <c r="B18" s="5"/>
      <c r="C18" s="3">
        <v>19</v>
      </c>
      <c r="D18" s="3">
        <v>19</v>
      </c>
      <c r="E18" s="3">
        <v>19</v>
      </c>
      <c r="F18" s="5" t="s">
        <v>48</v>
      </c>
    </row>
    <row r="19" spans="1:6" x14ac:dyDescent="0.3">
      <c r="A19" s="8" t="s">
        <v>62</v>
      </c>
      <c r="B19" s="5"/>
      <c r="C19" s="3">
        <v>6</v>
      </c>
      <c r="D19" s="3">
        <v>8</v>
      </c>
      <c r="E19" s="7" t="s">
        <v>63</v>
      </c>
      <c r="F19" s="9" t="s">
        <v>37</v>
      </c>
    </row>
    <row r="20" spans="1:6" ht="28.8" x14ac:dyDescent="0.3">
      <c r="A20" s="8" t="s">
        <v>64</v>
      </c>
      <c r="B20" s="5"/>
      <c r="C20" s="3">
        <v>62.51</v>
      </c>
      <c r="D20" s="3">
        <v>74.510000000000005</v>
      </c>
      <c r="E20" s="7" t="s">
        <v>65</v>
      </c>
      <c r="F20" s="9" t="s">
        <v>37</v>
      </c>
    </row>
    <row r="21" spans="1:6" x14ac:dyDescent="0.3">
      <c r="A21" s="8" t="s">
        <v>66</v>
      </c>
      <c r="B21" s="5"/>
      <c r="C21" s="3">
        <v>6</v>
      </c>
      <c r="D21" s="3">
        <v>8</v>
      </c>
      <c r="E21" s="7" t="s">
        <v>63</v>
      </c>
      <c r="F21" s="9" t="s">
        <v>37</v>
      </c>
    </row>
    <row r="22" spans="1:6" ht="28.8" x14ac:dyDescent="0.3">
      <c r="A22" s="8" t="s">
        <v>67</v>
      </c>
      <c r="B22" s="5"/>
      <c r="C22" s="3">
        <v>62.51</v>
      </c>
      <c r="D22" s="3">
        <v>74.510000000000005</v>
      </c>
      <c r="E22" s="7" t="s">
        <v>65</v>
      </c>
      <c r="F22" s="9" t="s">
        <v>37</v>
      </c>
    </row>
    <row r="23" spans="1:6" x14ac:dyDescent="0.3">
      <c r="A23" s="8" t="s">
        <v>68</v>
      </c>
      <c r="B23" s="5"/>
      <c r="C23" s="3">
        <v>5</v>
      </c>
      <c r="D23" s="3">
        <v>7</v>
      </c>
      <c r="E23" s="7" t="s">
        <v>69</v>
      </c>
      <c r="F23" s="9" t="s">
        <v>37</v>
      </c>
    </row>
    <row r="24" spans="1:6" x14ac:dyDescent="0.3">
      <c r="A24" s="8" t="s">
        <v>70</v>
      </c>
      <c r="B24" s="5"/>
      <c r="C24" s="3"/>
      <c r="D24" s="3"/>
      <c r="E24" s="3"/>
      <c r="F24" s="5" t="s">
        <v>48</v>
      </c>
    </row>
    <row r="25" spans="1:6" x14ac:dyDescent="0.3">
      <c r="A25" s="8" t="s">
        <v>71</v>
      </c>
      <c r="B25" s="5"/>
      <c r="C25" s="3">
        <v>2</v>
      </c>
      <c r="D25" s="3">
        <v>4</v>
      </c>
      <c r="E25" s="7" t="s">
        <v>72</v>
      </c>
      <c r="F25" s="9" t="s">
        <v>37</v>
      </c>
    </row>
    <row r="26" spans="1:6" x14ac:dyDescent="0.3">
      <c r="A26" s="8" t="s">
        <v>73</v>
      </c>
      <c r="B26" s="5"/>
      <c r="C26" s="3"/>
      <c r="D26" s="3"/>
      <c r="E26" s="3"/>
      <c r="F26" s="5" t="s">
        <v>48</v>
      </c>
    </row>
    <row r="27" spans="1:6" x14ac:dyDescent="0.3">
      <c r="A27" s="8" t="s">
        <v>74</v>
      </c>
      <c r="B27" s="5"/>
      <c r="C27" s="3">
        <v>3</v>
      </c>
      <c r="D27" s="3">
        <v>4</v>
      </c>
      <c r="E27" s="7" t="s">
        <v>72</v>
      </c>
      <c r="F27" s="9" t="s">
        <v>37</v>
      </c>
    </row>
    <row r="28" spans="1:6" x14ac:dyDescent="0.3">
      <c r="A28" s="8" t="s">
        <v>75</v>
      </c>
      <c r="B28" s="5"/>
      <c r="C28" s="3">
        <v>0</v>
      </c>
      <c r="D28" s="3">
        <v>0</v>
      </c>
      <c r="E28" s="3">
        <v>0</v>
      </c>
      <c r="F28" s="5" t="s">
        <v>48</v>
      </c>
    </row>
    <row r="29" spans="1:6" ht="28.8" x14ac:dyDescent="0.3">
      <c r="A29" s="8" t="s">
        <v>76</v>
      </c>
      <c r="B29" s="5"/>
      <c r="C29" s="10" t="s">
        <v>77</v>
      </c>
      <c r="D29" s="10" t="s">
        <v>78</v>
      </c>
      <c r="E29" s="7" t="s">
        <v>79</v>
      </c>
      <c r="F29" s="9" t="s">
        <v>37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topLeftCell="B1" workbookViewId="0">
      <pane ySplit="5" topLeftCell="A6" activePane="bottomLeft" state="frozen"/>
      <selection pane="bottomLeft" activeCell="G8" sqref="G8:Q8"/>
    </sheetView>
  </sheetViews>
  <sheetFormatPr defaultRowHeight="14.4" x14ac:dyDescent="0.3"/>
  <cols>
    <col min="1" max="1" width="8" customWidth="1"/>
    <col min="2" max="2" width="24" customWidth="1"/>
    <col min="3" max="3" width="12" customWidth="1"/>
    <col min="4" max="4" width="18" customWidth="1"/>
    <col min="5" max="5" width="52" customWidth="1"/>
    <col min="6" max="6" width="34" customWidth="1"/>
    <col min="7" max="7" width="10" customWidth="1"/>
    <col min="8" max="8" width="12" customWidth="1"/>
    <col min="9" max="10" width="10" customWidth="1"/>
    <col min="11" max="11" width="15" customWidth="1"/>
    <col min="12" max="12" width="14" customWidth="1"/>
    <col min="13" max="13" width="16" customWidth="1"/>
    <col min="14" max="14" width="12" customWidth="1"/>
    <col min="15" max="15" width="14" customWidth="1"/>
    <col min="16" max="16" width="16" customWidth="1"/>
    <col min="17" max="17" width="12" customWidth="1"/>
    <col min="18" max="18" width="28" customWidth="1"/>
  </cols>
  <sheetData>
    <row r="1" spans="1:18" ht="18" x14ac:dyDescent="0.3">
      <c r="A1" s="14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7" t="s">
        <v>81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4" t="s">
        <v>8</v>
      </c>
      <c r="B5" s="4" t="s">
        <v>9</v>
      </c>
      <c r="C5" s="4" t="s">
        <v>10</v>
      </c>
      <c r="D5" s="4" t="s">
        <v>82</v>
      </c>
      <c r="E5" s="4" t="s">
        <v>83</v>
      </c>
      <c r="F5" s="4" t="s">
        <v>84</v>
      </c>
      <c r="G5" s="4" t="s">
        <v>13</v>
      </c>
      <c r="H5" s="4" t="s">
        <v>85</v>
      </c>
      <c r="I5" s="4" t="s">
        <v>86</v>
      </c>
      <c r="J5" s="4" t="s">
        <v>87</v>
      </c>
      <c r="K5" s="4" t="s">
        <v>88</v>
      </c>
      <c r="L5" s="4" t="s">
        <v>89</v>
      </c>
      <c r="M5" s="4" t="s">
        <v>90</v>
      </c>
      <c r="N5" s="4" t="s">
        <v>91</v>
      </c>
      <c r="O5" s="4" t="s">
        <v>92</v>
      </c>
      <c r="P5" s="4" t="s">
        <v>93</v>
      </c>
      <c r="Q5" s="4" t="s">
        <v>94</v>
      </c>
      <c r="R5" s="4" t="s">
        <v>95</v>
      </c>
    </row>
    <row r="6" spans="1:18" ht="28.8" x14ac:dyDescent="0.3">
      <c r="A6" s="5">
        <v>1</v>
      </c>
      <c r="B6" s="3" t="s">
        <v>15</v>
      </c>
      <c r="C6" s="6">
        <v>46069</v>
      </c>
      <c r="D6" s="3" t="s">
        <v>96</v>
      </c>
      <c r="E6" s="3" t="s">
        <v>97</v>
      </c>
      <c r="F6" s="3" t="s">
        <v>98</v>
      </c>
      <c r="G6" s="5">
        <v>18</v>
      </c>
      <c r="H6" s="5">
        <v>1211</v>
      </c>
      <c r="I6" s="11">
        <v>36.479999999999997</v>
      </c>
      <c r="J6" s="11">
        <v>123</v>
      </c>
      <c r="K6" s="11">
        <v>208.23</v>
      </c>
      <c r="L6" s="3" t="s">
        <v>99</v>
      </c>
      <c r="M6" s="5">
        <v>408695</v>
      </c>
      <c r="N6" s="11">
        <v>3.75</v>
      </c>
      <c r="O6" s="3" t="s">
        <v>35</v>
      </c>
      <c r="P6" s="5">
        <v>408695</v>
      </c>
      <c r="Q6" s="11">
        <v>9.3800000000000008</v>
      </c>
      <c r="R6" s="3"/>
    </row>
    <row r="7" spans="1:18" ht="43.2" x14ac:dyDescent="0.3">
      <c r="A7" s="5">
        <v>2</v>
      </c>
      <c r="B7" s="3" t="s">
        <v>19</v>
      </c>
      <c r="C7" s="6">
        <v>46070</v>
      </c>
      <c r="D7" s="3" t="s">
        <v>100</v>
      </c>
      <c r="E7" s="3" t="s">
        <v>101</v>
      </c>
      <c r="F7" s="3" t="s">
        <v>102</v>
      </c>
      <c r="G7" s="5">
        <v>18</v>
      </c>
      <c r="H7" s="5">
        <v>453</v>
      </c>
      <c r="I7" s="11">
        <v>25.65</v>
      </c>
      <c r="J7" s="11">
        <v>118</v>
      </c>
      <c r="K7" s="11">
        <v>98.35</v>
      </c>
      <c r="L7" s="3" t="s">
        <v>99</v>
      </c>
      <c r="M7" s="5">
        <v>74044</v>
      </c>
      <c r="N7" s="11">
        <v>4.95</v>
      </c>
      <c r="O7" s="3" t="s">
        <v>35</v>
      </c>
      <c r="P7" s="5">
        <v>74044</v>
      </c>
      <c r="Q7" s="11">
        <v>5</v>
      </c>
      <c r="R7" s="3"/>
    </row>
    <row r="8" spans="1:18" ht="43.2" x14ac:dyDescent="0.3">
      <c r="A8" s="5">
        <v>3</v>
      </c>
      <c r="B8" s="3" t="s">
        <v>22</v>
      </c>
      <c r="C8" s="6">
        <v>46071</v>
      </c>
      <c r="D8" s="3" t="s">
        <v>24</v>
      </c>
      <c r="E8" s="3" t="s">
        <v>103</v>
      </c>
      <c r="F8" s="3" t="s">
        <v>104</v>
      </c>
      <c r="G8" s="5">
        <v>18</v>
      </c>
      <c r="H8" s="5">
        <v>424</v>
      </c>
      <c r="I8" s="11">
        <v>19.75</v>
      </c>
      <c r="J8" s="11">
        <v>96</v>
      </c>
      <c r="K8" s="11">
        <v>185.55</v>
      </c>
      <c r="L8" s="3" t="s">
        <v>99</v>
      </c>
      <c r="M8" s="5">
        <v>117773</v>
      </c>
      <c r="N8" s="11">
        <v>7.01</v>
      </c>
      <c r="O8" s="3" t="s">
        <v>35</v>
      </c>
      <c r="P8" s="5">
        <v>117773</v>
      </c>
      <c r="Q8" s="11">
        <v>0.56999999999999995</v>
      </c>
      <c r="R8" s="7" t="s">
        <v>105</v>
      </c>
    </row>
  </sheetData>
  <mergeCells count="2">
    <mergeCell ref="A3:R3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8" customWidth="1"/>
    <col min="2" max="2" width="24" customWidth="1"/>
    <col min="3" max="3" width="12" customWidth="1"/>
    <col min="4" max="4" width="18" customWidth="1"/>
    <col min="5" max="5" width="8" customWidth="1"/>
    <col min="6" max="6" width="14" customWidth="1"/>
    <col min="7" max="7" width="10" customWidth="1"/>
    <col min="8" max="9" width="12" customWidth="1"/>
    <col min="10" max="10" width="14" customWidth="1"/>
    <col min="11" max="11" width="10" customWidth="1"/>
  </cols>
  <sheetData>
    <row r="1" spans="1:11" ht="18" x14ac:dyDescent="0.3">
      <c r="A1" s="14" t="s">
        <v>106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4" t="s">
        <v>8</v>
      </c>
      <c r="B3" s="4" t="s">
        <v>9</v>
      </c>
      <c r="C3" s="4" t="s">
        <v>10</v>
      </c>
      <c r="D3" s="4" t="s">
        <v>82</v>
      </c>
      <c r="E3" s="4" t="s">
        <v>107</v>
      </c>
      <c r="F3" s="4" t="s">
        <v>108</v>
      </c>
      <c r="G3" s="4" t="s">
        <v>13</v>
      </c>
      <c r="H3" s="4" t="s">
        <v>109</v>
      </c>
      <c r="I3" s="4" t="s">
        <v>110</v>
      </c>
      <c r="J3" s="4" t="s">
        <v>111</v>
      </c>
      <c r="K3" s="4" t="s">
        <v>112</v>
      </c>
    </row>
    <row r="4" spans="1:11" x14ac:dyDescent="0.3">
      <c r="A4" s="5">
        <v>1</v>
      </c>
      <c r="B4" s="5" t="s">
        <v>15</v>
      </c>
      <c r="C4" s="6">
        <v>46069</v>
      </c>
      <c r="D4" s="5" t="s">
        <v>96</v>
      </c>
      <c r="E4" s="5">
        <v>1</v>
      </c>
      <c r="F4" s="5">
        <v>1004333</v>
      </c>
      <c r="G4" s="5">
        <v>18</v>
      </c>
      <c r="H4" s="6">
        <v>46069</v>
      </c>
      <c r="I4" s="11">
        <v>450</v>
      </c>
      <c r="J4" s="11">
        <v>60.3</v>
      </c>
      <c r="K4" s="5">
        <v>123</v>
      </c>
    </row>
    <row r="5" spans="1:11" x14ac:dyDescent="0.3">
      <c r="A5" s="5">
        <v>1</v>
      </c>
      <c r="B5" s="5" t="s">
        <v>15</v>
      </c>
      <c r="C5" s="6">
        <v>46069</v>
      </c>
      <c r="D5" s="5" t="s">
        <v>96</v>
      </c>
      <c r="E5" s="5">
        <v>2</v>
      </c>
      <c r="F5" s="5">
        <v>1002270</v>
      </c>
      <c r="G5" s="5">
        <v>18</v>
      </c>
      <c r="H5" s="6">
        <v>46069</v>
      </c>
      <c r="I5" s="11">
        <v>1220</v>
      </c>
      <c r="J5" s="11">
        <v>60.97</v>
      </c>
      <c r="K5" s="5">
        <v>121</v>
      </c>
    </row>
    <row r="6" spans="1:11" x14ac:dyDescent="0.3">
      <c r="A6" s="5">
        <v>1</v>
      </c>
      <c r="B6" s="5" t="s">
        <v>15</v>
      </c>
      <c r="C6" s="6">
        <v>46069</v>
      </c>
      <c r="D6" s="5" t="s">
        <v>96</v>
      </c>
      <c r="E6" s="5">
        <v>3</v>
      </c>
      <c r="F6" s="5">
        <v>1006776</v>
      </c>
      <c r="G6" s="5">
        <v>18</v>
      </c>
      <c r="H6" s="6">
        <v>46069</v>
      </c>
      <c r="I6" s="11">
        <v>63</v>
      </c>
      <c r="J6" s="11">
        <v>256.47000000000003</v>
      </c>
      <c r="K6" s="5">
        <v>120</v>
      </c>
    </row>
    <row r="7" spans="1:11" x14ac:dyDescent="0.3">
      <c r="A7" s="5">
        <v>1</v>
      </c>
      <c r="B7" s="5" t="s">
        <v>15</v>
      </c>
      <c r="C7" s="6">
        <v>46069</v>
      </c>
      <c r="D7" s="5" t="s">
        <v>96</v>
      </c>
      <c r="E7" s="5">
        <v>4</v>
      </c>
      <c r="F7" s="5">
        <v>1006781</v>
      </c>
      <c r="G7" s="5">
        <v>18</v>
      </c>
      <c r="H7" s="6">
        <v>46069</v>
      </c>
      <c r="I7" s="11">
        <v>53</v>
      </c>
      <c r="J7" s="11">
        <v>216.17</v>
      </c>
      <c r="K7" s="5">
        <v>120</v>
      </c>
    </row>
    <row r="8" spans="1:11" x14ac:dyDescent="0.3">
      <c r="A8" s="5">
        <v>1</v>
      </c>
      <c r="B8" s="5" t="s">
        <v>15</v>
      </c>
      <c r="C8" s="6">
        <v>46069</v>
      </c>
      <c r="D8" s="5" t="s">
        <v>96</v>
      </c>
      <c r="E8" s="5">
        <v>5</v>
      </c>
      <c r="F8" s="5">
        <v>1004153</v>
      </c>
      <c r="G8" s="5">
        <v>18</v>
      </c>
      <c r="H8" s="6">
        <v>46069</v>
      </c>
      <c r="I8" s="11">
        <v>1120</v>
      </c>
      <c r="J8" s="11">
        <v>60.4</v>
      </c>
      <c r="K8" s="5">
        <v>118</v>
      </c>
    </row>
    <row r="9" spans="1:11" x14ac:dyDescent="0.3">
      <c r="A9" s="5">
        <v>1</v>
      </c>
      <c r="B9" s="5" t="s">
        <v>15</v>
      </c>
      <c r="C9" s="6">
        <v>46069</v>
      </c>
      <c r="D9" s="5" t="s">
        <v>96</v>
      </c>
      <c r="E9" s="5">
        <v>6</v>
      </c>
      <c r="F9" s="5">
        <v>1004149</v>
      </c>
      <c r="G9" s="5">
        <v>18</v>
      </c>
      <c r="H9" s="6">
        <v>46069</v>
      </c>
      <c r="I9" s="11">
        <v>973</v>
      </c>
      <c r="J9" s="11">
        <v>60.17</v>
      </c>
      <c r="K9" s="5">
        <v>117</v>
      </c>
    </row>
    <row r="10" spans="1:11" x14ac:dyDescent="0.3">
      <c r="A10" s="5">
        <v>1</v>
      </c>
      <c r="B10" s="5" t="s">
        <v>15</v>
      </c>
      <c r="C10" s="6">
        <v>46069</v>
      </c>
      <c r="D10" s="5" t="s">
        <v>96</v>
      </c>
      <c r="E10" s="5">
        <v>7</v>
      </c>
      <c r="F10" s="5">
        <v>1002710</v>
      </c>
      <c r="G10" s="5">
        <v>18</v>
      </c>
      <c r="H10" s="6">
        <v>46069</v>
      </c>
      <c r="I10" s="11">
        <v>739</v>
      </c>
      <c r="J10" s="11">
        <v>60.1</v>
      </c>
      <c r="K10" s="5">
        <v>117</v>
      </c>
    </row>
    <row r="11" spans="1:11" x14ac:dyDescent="0.3">
      <c r="A11" s="5">
        <v>1</v>
      </c>
      <c r="B11" s="5" t="s">
        <v>15</v>
      </c>
      <c r="C11" s="6">
        <v>46069</v>
      </c>
      <c r="D11" s="5" t="s">
        <v>96</v>
      </c>
      <c r="E11" s="5">
        <v>8</v>
      </c>
      <c r="F11" s="5">
        <v>1002778</v>
      </c>
      <c r="G11" s="5">
        <v>18</v>
      </c>
      <c r="H11" s="6">
        <v>46069</v>
      </c>
      <c r="I11" s="11">
        <v>437</v>
      </c>
      <c r="J11" s="11">
        <v>61.1</v>
      </c>
      <c r="K11" s="5">
        <v>117</v>
      </c>
    </row>
    <row r="12" spans="1:11" x14ac:dyDescent="0.3">
      <c r="A12" s="5">
        <v>1</v>
      </c>
      <c r="B12" s="5" t="s">
        <v>15</v>
      </c>
      <c r="C12" s="6">
        <v>46069</v>
      </c>
      <c r="D12" s="5" t="s">
        <v>96</v>
      </c>
      <c r="E12" s="5">
        <v>9</v>
      </c>
      <c r="F12" s="5">
        <v>1004117</v>
      </c>
      <c r="G12" s="5">
        <v>18</v>
      </c>
      <c r="H12" s="6">
        <v>46069</v>
      </c>
      <c r="I12" s="11">
        <v>760</v>
      </c>
      <c r="J12" s="11">
        <v>60.4</v>
      </c>
      <c r="K12" s="5">
        <v>116</v>
      </c>
    </row>
    <row r="13" spans="1:11" x14ac:dyDescent="0.3">
      <c r="A13" s="5">
        <v>1</v>
      </c>
      <c r="B13" s="5" t="s">
        <v>15</v>
      </c>
      <c r="C13" s="6">
        <v>46069</v>
      </c>
      <c r="D13" s="5" t="s">
        <v>96</v>
      </c>
      <c r="E13" s="5">
        <v>10</v>
      </c>
      <c r="F13" s="5">
        <v>1004129</v>
      </c>
      <c r="G13" s="5">
        <v>18</v>
      </c>
      <c r="H13" s="6">
        <v>46069</v>
      </c>
      <c r="I13" s="11">
        <v>413</v>
      </c>
      <c r="J13" s="11">
        <v>60.17</v>
      </c>
      <c r="K13" s="5">
        <v>116</v>
      </c>
    </row>
    <row r="14" spans="1:11" x14ac:dyDescent="0.3">
      <c r="A14" s="5">
        <v>2</v>
      </c>
      <c r="B14" s="5" t="s">
        <v>19</v>
      </c>
      <c r="C14" s="6">
        <v>46070</v>
      </c>
      <c r="D14" s="5" t="s">
        <v>100</v>
      </c>
      <c r="E14" s="5">
        <v>1</v>
      </c>
      <c r="F14" s="5">
        <v>1007206</v>
      </c>
      <c r="G14" s="5">
        <v>18</v>
      </c>
      <c r="H14" s="6">
        <v>46070</v>
      </c>
      <c r="I14" s="11">
        <v>805</v>
      </c>
      <c r="J14" s="11">
        <v>300.13</v>
      </c>
      <c r="K14" s="5">
        <v>118</v>
      </c>
    </row>
    <row r="15" spans="1:11" x14ac:dyDescent="0.3">
      <c r="A15" s="5">
        <v>2</v>
      </c>
      <c r="B15" s="5" t="s">
        <v>19</v>
      </c>
      <c r="C15" s="6">
        <v>46070</v>
      </c>
      <c r="D15" s="5" t="s">
        <v>100</v>
      </c>
      <c r="E15" s="5">
        <v>2</v>
      </c>
      <c r="F15" s="5">
        <v>1008483</v>
      </c>
      <c r="G15" s="5">
        <v>18</v>
      </c>
      <c r="H15" s="6">
        <v>46070</v>
      </c>
      <c r="I15" s="11">
        <v>280</v>
      </c>
      <c r="J15" s="11">
        <v>60.13</v>
      </c>
      <c r="K15" s="5">
        <v>113</v>
      </c>
    </row>
    <row r="16" spans="1:11" x14ac:dyDescent="0.3">
      <c r="A16" s="5">
        <v>2</v>
      </c>
      <c r="B16" s="5" t="s">
        <v>19</v>
      </c>
      <c r="C16" s="6">
        <v>46070</v>
      </c>
      <c r="D16" s="5" t="s">
        <v>100</v>
      </c>
      <c r="E16" s="5">
        <v>3</v>
      </c>
      <c r="F16" s="5">
        <v>1007358</v>
      </c>
      <c r="G16" s="5">
        <v>18</v>
      </c>
      <c r="H16" s="6">
        <v>46070</v>
      </c>
      <c r="I16" s="11">
        <v>68</v>
      </c>
      <c r="J16" s="11">
        <v>205.57</v>
      </c>
      <c r="K16" s="5">
        <v>100</v>
      </c>
    </row>
    <row r="17" spans="1:11" x14ac:dyDescent="0.3">
      <c r="A17" s="5">
        <v>2</v>
      </c>
      <c r="B17" s="5" t="s">
        <v>19</v>
      </c>
      <c r="C17" s="6">
        <v>46070</v>
      </c>
      <c r="D17" s="5" t="s">
        <v>100</v>
      </c>
      <c r="E17" s="5">
        <v>4</v>
      </c>
      <c r="F17" s="5">
        <v>1007354</v>
      </c>
      <c r="G17" s="5">
        <v>18</v>
      </c>
      <c r="H17" s="6">
        <v>46070</v>
      </c>
      <c r="I17" s="11">
        <v>5</v>
      </c>
      <c r="J17" s="11">
        <v>140.87</v>
      </c>
      <c r="K17" s="5">
        <v>100</v>
      </c>
    </row>
    <row r="18" spans="1:11" x14ac:dyDescent="0.3">
      <c r="A18" s="5">
        <v>2</v>
      </c>
      <c r="B18" s="5" t="s">
        <v>19</v>
      </c>
      <c r="C18" s="6">
        <v>46070</v>
      </c>
      <c r="D18" s="5" t="s">
        <v>100</v>
      </c>
      <c r="E18" s="5">
        <v>5</v>
      </c>
      <c r="F18" s="5">
        <v>1010086</v>
      </c>
      <c r="G18" s="5">
        <v>18</v>
      </c>
      <c r="H18" s="6">
        <v>46070</v>
      </c>
      <c r="I18" s="11">
        <v>136</v>
      </c>
      <c r="J18" s="11">
        <v>1025.5999999999999</v>
      </c>
      <c r="K18" s="5">
        <v>97</v>
      </c>
    </row>
    <row r="19" spans="1:11" x14ac:dyDescent="0.3">
      <c r="A19" s="5">
        <v>2</v>
      </c>
      <c r="B19" s="5" t="s">
        <v>19</v>
      </c>
      <c r="C19" s="6">
        <v>46070</v>
      </c>
      <c r="D19" s="5" t="s">
        <v>100</v>
      </c>
      <c r="E19" s="5">
        <v>6</v>
      </c>
      <c r="F19" s="5">
        <v>1010107</v>
      </c>
      <c r="G19" s="5">
        <v>18</v>
      </c>
      <c r="H19" s="6">
        <v>46070</v>
      </c>
      <c r="I19" s="11">
        <v>56</v>
      </c>
      <c r="J19" s="11">
        <v>424.63</v>
      </c>
      <c r="K19" s="5">
        <v>97</v>
      </c>
    </row>
    <row r="20" spans="1:11" x14ac:dyDescent="0.3">
      <c r="A20" s="5">
        <v>2</v>
      </c>
      <c r="B20" s="5" t="s">
        <v>19</v>
      </c>
      <c r="C20" s="6">
        <v>46070</v>
      </c>
      <c r="D20" s="5" t="s">
        <v>100</v>
      </c>
      <c r="E20" s="5">
        <v>7</v>
      </c>
      <c r="F20" s="5">
        <v>1009663</v>
      </c>
      <c r="G20" s="5">
        <v>18</v>
      </c>
      <c r="H20" s="6">
        <v>46070</v>
      </c>
      <c r="I20" s="11">
        <v>100</v>
      </c>
      <c r="J20" s="11">
        <v>207.93</v>
      </c>
      <c r="K20" s="5">
        <v>92</v>
      </c>
    </row>
    <row r="21" spans="1:11" x14ac:dyDescent="0.3">
      <c r="A21" s="5">
        <v>2</v>
      </c>
      <c r="B21" s="5" t="s">
        <v>19</v>
      </c>
      <c r="C21" s="6">
        <v>46070</v>
      </c>
      <c r="D21" s="5" t="s">
        <v>100</v>
      </c>
      <c r="E21" s="5">
        <v>8</v>
      </c>
      <c r="F21" s="5">
        <v>1010039</v>
      </c>
      <c r="G21" s="5">
        <v>18</v>
      </c>
      <c r="H21" s="6">
        <v>46070</v>
      </c>
      <c r="I21" s="11">
        <v>98</v>
      </c>
      <c r="J21" s="11">
        <v>650.13</v>
      </c>
      <c r="K21" s="5">
        <v>92</v>
      </c>
    </row>
    <row r="22" spans="1:11" x14ac:dyDescent="0.3">
      <c r="A22" s="5">
        <v>2</v>
      </c>
      <c r="B22" s="5" t="s">
        <v>19</v>
      </c>
      <c r="C22" s="6">
        <v>46070</v>
      </c>
      <c r="D22" s="5" t="s">
        <v>100</v>
      </c>
      <c r="E22" s="5">
        <v>9</v>
      </c>
      <c r="F22" s="5">
        <v>1007309</v>
      </c>
      <c r="G22" s="5">
        <v>18</v>
      </c>
      <c r="H22" s="6">
        <v>46070</v>
      </c>
      <c r="I22" s="11">
        <v>62</v>
      </c>
      <c r="J22" s="11">
        <v>400.3</v>
      </c>
      <c r="K22" s="5">
        <v>92</v>
      </c>
    </row>
    <row r="23" spans="1:11" x14ac:dyDescent="0.3">
      <c r="A23" s="5">
        <v>2</v>
      </c>
      <c r="B23" s="5" t="s">
        <v>19</v>
      </c>
      <c r="C23" s="6">
        <v>46070</v>
      </c>
      <c r="D23" s="5" t="s">
        <v>100</v>
      </c>
      <c r="E23" s="5">
        <v>10</v>
      </c>
      <c r="F23" s="5">
        <v>1009658</v>
      </c>
      <c r="G23" s="5">
        <v>18</v>
      </c>
      <c r="H23" s="6">
        <v>46070</v>
      </c>
      <c r="I23" s="11">
        <v>46</v>
      </c>
      <c r="J23" s="11">
        <v>174.37</v>
      </c>
      <c r="K23" s="5">
        <v>92</v>
      </c>
    </row>
    <row r="24" spans="1:11" x14ac:dyDescent="0.3">
      <c r="A24" s="5">
        <v>3</v>
      </c>
      <c r="B24" s="5" t="s">
        <v>22</v>
      </c>
      <c r="C24" s="6">
        <v>46071</v>
      </c>
      <c r="D24" s="5" t="s">
        <v>24</v>
      </c>
      <c r="E24" s="5">
        <v>1</v>
      </c>
      <c r="F24" s="5">
        <v>1011142</v>
      </c>
      <c r="G24" s="5">
        <v>18</v>
      </c>
      <c r="H24" s="6">
        <v>46071</v>
      </c>
      <c r="I24" s="11">
        <v>136</v>
      </c>
      <c r="J24" s="11">
        <v>60.17</v>
      </c>
      <c r="K24" s="5">
        <v>96</v>
      </c>
    </row>
    <row r="25" spans="1:11" x14ac:dyDescent="0.3">
      <c r="A25" s="5">
        <v>3</v>
      </c>
      <c r="B25" s="5" t="s">
        <v>22</v>
      </c>
      <c r="C25" s="6">
        <v>46071</v>
      </c>
      <c r="D25" s="5" t="s">
        <v>24</v>
      </c>
      <c r="E25" s="5">
        <v>2</v>
      </c>
      <c r="F25" s="5">
        <v>1011145</v>
      </c>
      <c r="G25" s="5">
        <v>18</v>
      </c>
      <c r="H25" s="6">
        <v>46071</v>
      </c>
      <c r="I25" s="11">
        <v>66</v>
      </c>
      <c r="J25" s="11">
        <v>61.17</v>
      </c>
      <c r="K25" s="5">
        <v>96</v>
      </c>
    </row>
    <row r="26" spans="1:11" x14ac:dyDescent="0.3">
      <c r="A26" s="5">
        <v>3</v>
      </c>
      <c r="B26" s="5" t="s">
        <v>22</v>
      </c>
      <c r="C26" s="6">
        <v>46071</v>
      </c>
      <c r="D26" s="5" t="s">
        <v>24</v>
      </c>
      <c r="E26" s="5">
        <v>3</v>
      </c>
      <c r="F26" s="5">
        <v>1010342</v>
      </c>
      <c r="G26" s="5">
        <v>18</v>
      </c>
      <c r="H26" s="6">
        <v>46071</v>
      </c>
      <c r="I26" s="11">
        <v>697</v>
      </c>
      <c r="J26" s="11">
        <v>240.17</v>
      </c>
      <c r="K26" s="5">
        <v>95</v>
      </c>
    </row>
    <row r="27" spans="1:11" x14ac:dyDescent="0.3">
      <c r="A27" s="5">
        <v>3</v>
      </c>
      <c r="B27" s="5" t="s">
        <v>22</v>
      </c>
      <c r="C27" s="6">
        <v>46071</v>
      </c>
      <c r="D27" s="5" t="s">
        <v>24</v>
      </c>
      <c r="E27" s="5">
        <v>4</v>
      </c>
      <c r="F27" s="5">
        <v>1010621</v>
      </c>
      <c r="G27" s="5">
        <v>18</v>
      </c>
      <c r="H27" s="6">
        <v>46071</v>
      </c>
      <c r="I27" s="11">
        <v>88</v>
      </c>
      <c r="J27" s="11">
        <v>1071.6400000000001</v>
      </c>
      <c r="K27" s="5">
        <v>93</v>
      </c>
    </row>
    <row r="28" spans="1:11" x14ac:dyDescent="0.3">
      <c r="A28" s="5">
        <v>3</v>
      </c>
      <c r="B28" s="5" t="s">
        <v>22</v>
      </c>
      <c r="C28" s="6">
        <v>46071</v>
      </c>
      <c r="D28" s="5" t="s">
        <v>24</v>
      </c>
      <c r="E28" s="5">
        <v>5</v>
      </c>
      <c r="F28" s="5">
        <v>1010380</v>
      </c>
      <c r="G28" s="5">
        <v>18</v>
      </c>
      <c r="H28" s="6">
        <v>46071</v>
      </c>
      <c r="I28" s="11">
        <v>182</v>
      </c>
      <c r="J28" s="11">
        <v>249.17</v>
      </c>
      <c r="K28" s="5">
        <v>92</v>
      </c>
    </row>
    <row r="29" spans="1:11" x14ac:dyDescent="0.3">
      <c r="A29" s="5">
        <v>3</v>
      </c>
      <c r="B29" s="5" t="s">
        <v>22</v>
      </c>
      <c r="C29" s="6">
        <v>46071</v>
      </c>
      <c r="D29" s="5" t="s">
        <v>24</v>
      </c>
      <c r="E29" s="5">
        <v>6</v>
      </c>
      <c r="F29" s="5">
        <v>1011098</v>
      </c>
      <c r="G29" s="5">
        <v>18</v>
      </c>
      <c r="H29" s="6">
        <v>46071</v>
      </c>
      <c r="I29" s="11">
        <v>283</v>
      </c>
      <c r="J29" s="11">
        <v>60.83</v>
      </c>
      <c r="K29" s="5">
        <v>89</v>
      </c>
    </row>
    <row r="30" spans="1:11" x14ac:dyDescent="0.3">
      <c r="A30" s="5">
        <v>3</v>
      </c>
      <c r="B30" s="5" t="s">
        <v>22</v>
      </c>
      <c r="C30" s="6">
        <v>46071</v>
      </c>
      <c r="D30" s="5" t="s">
        <v>24</v>
      </c>
      <c r="E30" s="5">
        <v>7</v>
      </c>
      <c r="F30" s="5">
        <v>1010335</v>
      </c>
      <c r="G30" s="5">
        <v>18</v>
      </c>
      <c r="H30" s="6">
        <v>46071</v>
      </c>
      <c r="I30" s="11">
        <v>291</v>
      </c>
      <c r="J30" s="11">
        <v>240.23</v>
      </c>
      <c r="K30" s="5">
        <v>83</v>
      </c>
    </row>
    <row r="31" spans="1:11" x14ac:dyDescent="0.3">
      <c r="A31" s="5">
        <v>3</v>
      </c>
      <c r="B31" s="5" t="s">
        <v>22</v>
      </c>
      <c r="C31" s="6">
        <v>46071</v>
      </c>
      <c r="D31" s="5" t="s">
        <v>24</v>
      </c>
      <c r="E31" s="5">
        <v>8</v>
      </c>
      <c r="F31" s="5">
        <v>1011252</v>
      </c>
      <c r="G31" s="5">
        <v>18</v>
      </c>
      <c r="H31" s="6">
        <v>46071</v>
      </c>
      <c r="I31" s="11">
        <v>249</v>
      </c>
      <c r="J31" s="11">
        <v>62.4</v>
      </c>
      <c r="K31" s="5">
        <v>81</v>
      </c>
    </row>
    <row r="32" spans="1:11" x14ac:dyDescent="0.3">
      <c r="A32" s="5">
        <v>3</v>
      </c>
      <c r="B32" s="5" t="s">
        <v>22</v>
      </c>
      <c r="C32" s="6">
        <v>46071</v>
      </c>
      <c r="D32" s="5" t="s">
        <v>24</v>
      </c>
      <c r="E32" s="5">
        <v>9</v>
      </c>
      <c r="F32" s="5">
        <v>1010724</v>
      </c>
      <c r="G32" s="5">
        <v>18</v>
      </c>
      <c r="H32" s="6">
        <v>46071</v>
      </c>
      <c r="I32" s="11">
        <v>20</v>
      </c>
      <c r="J32" s="11">
        <v>392.67</v>
      </c>
      <c r="K32" s="5">
        <v>81</v>
      </c>
    </row>
    <row r="33" spans="1:11" x14ac:dyDescent="0.3">
      <c r="A33" s="5">
        <v>3</v>
      </c>
      <c r="B33" s="5" t="s">
        <v>22</v>
      </c>
      <c r="C33" s="6">
        <v>46071</v>
      </c>
      <c r="D33" s="5" t="s">
        <v>24</v>
      </c>
      <c r="E33" s="5">
        <v>10</v>
      </c>
      <c r="F33" s="5">
        <v>1011305</v>
      </c>
      <c r="G33" s="5">
        <v>18</v>
      </c>
      <c r="H33" s="6">
        <v>46071</v>
      </c>
      <c r="I33" s="11">
        <v>71</v>
      </c>
      <c r="J33" s="11">
        <v>66.900000000000006</v>
      </c>
      <c r="K33" s="5">
        <v>80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tabSelected="1" workbookViewId="0">
      <pane ySplit="3" topLeftCell="A4" activePane="bottomLeft" state="frozen"/>
      <selection pane="bottomLeft" activeCell="A3" sqref="A3:G3"/>
    </sheetView>
  </sheetViews>
  <sheetFormatPr defaultRowHeight="14.4" x14ac:dyDescent="0.3"/>
  <cols>
    <col min="1" max="1" width="24" customWidth="1"/>
    <col min="2" max="2" width="22.5546875" customWidth="1"/>
    <col min="3" max="3" width="12" customWidth="1"/>
    <col min="4" max="5" width="10" customWidth="1"/>
    <col min="6" max="6" width="16" customWidth="1"/>
    <col min="7" max="7" width="30" customWidth="1"/>
    <col min="8" max="8" width="4" customWidth="1"/>
    <col min="9" max="10" width="14" customWidth="1"/>
  </cols>
  <sheetData>
    <row r="1" spans="1:10" ht="18" x14ac:dyDescent="0.3">
      <c r="A1" s="14" t="s">
        <v>113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8" x14ac:dyDescent="0.3">
      <c r="A3" s="16" t="s">
        <v>114</v>
      </c>
      <c r="B3" s="15"/>
      <c r="C3" s="15"/>
      <c r="D3" s="15"/>
      <c r="E3" s="15"/>
      <c r="F3" s="15"/>
      <c r="G3" s="15"/>
      <c r="H3" s="1"/>
      <c r="I3" s="1"/>
      <c r="J3" s="1"/>
    </row>
    <row r="4" spans="1:10" x14ac:dyDescent="0.3">
      <c r="A4" s="4" t="s">
        <v>9</v>
      </c>
      <c r="B4" s="4" t="s">
        <v>10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14</v>
      </c>
      <c r="H4" s="1"/>
      <c r="I4" s="1"/>
      <c r="J4" s="1"/>
    </row>
    <row r="5" spans="1:10" x14ac:dyDescent="0.3">
      <c r="A5" s="5" t="s">
        <v>15</v>
      </c>
      <c r="B5" s="6">
        <v>46069</v>
      </c>
      <c r="C5" s="5">
        <v>1211</v>
      </c>
      <c r="D5" s="11">
        <v>36.479999999999997</v>
      </c>
      <c r="E5" s="11">
        <v>123</v>
      </c>
      <c r="F5" s="11">
        <v>208.23</v>
      </c>
      <c r="G5" s="3" t="s">
        <v>115</v>
      </c>
      <c r="H5" s="1"/>
      <c r="I5" s="1"/>
      <c r="J5" s="1"/>
    </row>
    <row r="6" spans="1:10" x14ac:dyDescent="0.3">
      <c r="A6" s="5" t="s">
        <v>19</v>
      </c>
      <c r="B6" s="6">
        <v>46070</v>
      </c>
      <c r="C6" s="5">
        <v>453</v>
      </c>
      <c r="D6" s="11">
        <v>25.65</v>
      </c>
      <c r="E6" s="11">
        <v>118</v>
      </c>
      <c r="F6" s="11">
        <v>98.35</v>
      </c>
      <c r="G6" s="3" t="s">
        <v>116</v>
      </c>
      <c r="H6" s="1"/>
      <c r="I6" s="1"/>
      <c r="J6" s="1"/>
    </row>
    <row r="7" spans="1:10" ht="28.8" x14ac:dyDescent="0.3">
      <c r="A7" s="5" t="s">
        <v>22</v>
      </c>
      <c r="B7" s="6">
        <v>46071</v>
      </c>
      <c r="C7" s="5">
        <v>424</v>
      </c>
      <c r="D7" s="11">
        <v>19.75</v>
      </c>
      <c r="E7" s="11">
        <v>96</v>
      </c>
      <c r="F7" s="11">
        <v>185.55</v>
      </c>
      <c r="G7" s="3" t="s">
        <v>117</v>
      </c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" x14ac:dyDescent="0.3">
      <c r="A10" s="16" t="s">
        <v>118</v>
      </c>
      <c r="B10" s="15"/>
      <c r="C10" s="15"/>
      <c r="D10" s="15"/>
      <c r="E10" s="15"/>
      <c r="F10" s="15"/>
      <c r="G10" s="15"/>
      <c r="H10" s="1"/>
      <c r="I10" s="1"/>
      <c r="J10" s="1"/>
    </row>
    <row r="11" spans="1:10" x14ac:dyDescent="0.3">
      <c r="A11" s="4" t="s">
        <v>119</v>
      </c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  <c r="G11" s="4" t="s">
        <v>125</v>
      </c>
      <c r="H11" s="1"/>
      <c r="I11" s="1"/>
      <c r="J11" s="1"/>
    </row>
    <row r="12" spans="1:10" ht="28.8" x14ac:dyDescent="0.3">
      <c r="A12" s="5" t="s">
        <v>126</v>
      </c>
      <c r="B12" s="12">
        <v>-0.62592898431048716</v>
      </c>
      <c r="C12" s="12">
        <v>-0.296875</v>
      </c>
      <c r="D12" s="12">
        <v>-4.065040650406504E-2</v>
      </c>
      <c r="E12" s="12">
        <v>-0.52768573212313308</v>
      </c>
      <c r="F12" s="3" t="s">
        <v>127</v>
      </c>
      <c r="G12" s="3" t="s">
        <v>128</v>
      </c>
      <c r="H12" s="1"/>
      <c r="I12" s="1"/>
      <c r="J12" s="1"/>
    </row>
    <row r="13" spans="1:10" ht="28.8" x14ac:dyDescent="0.3">
      <c r="A13" s="5" t="s">
        <v>129</v>
      </c>
      <c r="B13" s="12">
        <v>-6.4017660044150104E-2</v>
      </c>
      <c r="C13" s="12">
        <v>-0.2300194931773879</v>
      </c>
      <c r="D13" s="12">
        <v>-0.1864406779661017</v>
      </c>
      <c r="E13" s="12">
        <v>0.88662938485002563</v>
      </c>
      <c r="F13" s="3" t="s">
        <v>130</v>
      </c>
      <c r="G13" s="3" t="s">
        <v>131</v>
      </c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x14ac:dyDescent="0.3">
      <c r="A16" s="16" t="s">
        <v>132</v>
      </c>
      <c r="B16" s="15"/>
      <c r="C16" s="15"/>
      <c r="D16" s="15"/>
      <c r="E16" s="15"/>
      <c r="F16" s="1"/>
      <c r="G16" s="1"/>
      <c r="H16" s="1"/>
      <c r="I16" s="1"/>
      <c r="J16" s="1"/>
    </row>
    <row r="17" spans="1:10" x14ac:dyDescent="0.3">
      <c r="A17" s="4" t="s">
        <v>133</v>
      </c>
      <c r="B17" s="4" t="s">
        <v>134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5" t="s">
        <v>135</v>
      </c>
      <c r="B18" s="5" t="s">
        <v>136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5" t="s">
        <v>137</v>
      </c>
      <c r="B19" s="5" t="s">
        <v>138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5" t="s">
        <v>139</v>
      </c>
      <c r="B20" s="5" t="s">
        <v>140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5" t="s">
        <v>141</v>
      </c>
      <c r="B21" s="5" t="s">
        <v>142</v>
      </c>
      <c r="C21" s="1"/>
      <c r="D21" s="1"/>
      <c r="E21" s="1"/>
      <c r="F21" s="1"/>
      <c r="G21" s="1"/>
      <c r="H21" s="1"/>
      <c r="I21" s="1"/>
      <c r="J21" s="1"/>
    </row>
  </sheetData>
  <mergeCells count="4">
    <mergeCell ref="A16:E16"/>
    <mergeCell ref="A1:J1"/>
    <mergeCell ref="A10:G10"/>
    <mergeCell ref="A3:G3"/>
  </mergeCells>
  <pageMargins left="0.75" right="0.75" top="1" bottom="1" header="0.5" footer="0.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3" topLeftCell="A4" activePane="bottomLeft" state="frozen"/>
      <selection pane="bottomLeft" activeCell="B10" sqref="B10"/>
    </sheetView>
  </sheetViews>
  <sheetFormatPr defaultRowHeight="14.4" x14ac:dyDescent="0.3"/>
  <cols>
    <col min="1" max="1" width="6" customWidth="1"/>
    <col min="2" max="2" width="32" customWidth="1"/>
    <col min="3" max="3" width="74" customWidth="1"/>
    <col min="4" max="5" width="12" customWidth="1"/>
  </cols>
  <sheetData>
    <row r="1" spans="1:5" ht="18" x14ac:dyDescent="0.3">
      <c r="A1" s="14" t="s">
        <v>143</v>
      </c>
      <c r="B1" s="15"/>
      <c r="C1" s="15"/>
      <c r="D1" s="15"/>
      <c r="E1" s="15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</row>
    <row r="4" spans="1:5" ht="28.8" x14ac:dyDescent="0.3">
      <c r="A4" s="5">
        <v>1</v>
      </c>
      <c r="B4" s="3" t="s">
        <v>149</v>
      </c>
      <c r="C4" s="3" t="s">
        <v>150</v>
      </c>
      <c r="D4" s="13" t="s">
        <v>151</v>
      </c>
      <c r="E4" s="5" t="s">
        <v>151</v>
      </c>
    </row>
    <row r="5" spans="1:5" ht="28.8" x14ac:dyDescent="0.3">
      <c r="A5" s="5">
        <v>2</v>
      </c>
      <c r="B5" s="3" t="s">
        <v>152</v>
      </c>
      <c r="C5" s="3" t="s">
        <v>153</v>
      </c>
      <c r="D5" s="13" t="s">
        <v>151</v>
      </c>
      <c r="E5" s="5" t="s">
        <v>151</v>
      </c>
    </row>
    <row r="6" spans="1:5" ht="28.8" x14ac:dyDescent="0.3">
      <c r="A6" s="5">
        <v>3</v>
      </c>
      <c r="B6" s="3" t="s">
        <v>154</v>
      </c>
      <c r="C6" s="3" t="s">
        <v>155</v>
      </c>
      <c r="D6" s="13" t="s">
        <v>151</v>
      </c>
      <c r="E6" s="5" t="s">
        <v>151</v>
      </c>
    </row>
    <row r="7" spans="1:5" ht="28.8" x14ac:dyDescent="0.3">
      <c r="A7" s="5">
        <v>4</v>
      </c>
      <c r="B7" s="3" t="s">
        <v>156</v>
      </c>
      <c r="C7" s="3" t="s">
        <v>157</v>
      </c>
      <c r="D7" s="5" t="s">
        <v>158</v>
      </c>
      <c r="E7" s="5" t="s">
        <v>151</v>
      </c>
    </row>
    <row r="8" spans="1:5" ht="28.8" x14ac:dyDescent="0.3">
      <c r="A8" s="5">
        <v>5</v>
      </c>
      <c r="B8" s="3" t="s">
        <v>159</v>
      </c>
      <c r="C8" s="3" t="s">
        <v>160</v>
      </c>
      <c r="D8" s="13" t="s">
        <v>151</v>
      </c>
      <c r="E8" s="5" t="s">
        <v>151</v>
      </c>
    </row>
    <row r="9" spans="1:5" ht="28.8" x14ac:dyDescent="0.3">
      <c r="A9" s="5">
        <v>6</v>
      </c>
      <c r="B9" s="3" t="s">
        <v>161</v>
      </c>
      <c r="C9" s="3" t="s">
        <v>162</v>
      </c>
      <c r="D9" s="13" t="s">
        <v>151</v>
      </c>
      <c r="E9" s="5" t="s">
        <v>158</v>
      </c>
    </row>
    <row r="10" spans="1:5" ht="28.8" x14ac:dyDescent="0.3">
      <c r="A10" s="5">
        <v>7</v>
      </c>
      <c r="B10" s="3" t="s">
        <v>163</v>
      </c>
      <c r="C10" s="3" t="s">
        <v>164</v>
      </c>
      <c r="D10" s="13" t="s">
        <v>151</v>
      </c>
      <c r="E10" s="5" t="s">
        <v>151</v>
      </c>
    </row>
  </sheetData>
  <mergeCells count="1">
    <mergeCell ref="A1:E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sqref="A1:D1"/>
    </sheetView>
  </sheetViews>
  <sheetFormatPr defaultRowHeight="14.4" x14ac:dyDescent="0.3"/>
  <cols>
    <col min="1" max="2" width="18" customWidth="1"/>
    <col min="3" max="4" width="28" customWidth="1"/>
  </cols>
  <sheetData>
    <row r="1" spans="1:4" ht="18" x14ac:dyDescent="0.3">
      <c r="A1" s="14" t="s">
        <v>165</v>
      </c>
      <c r="B1" s="15"/>
      <c r="C1" s="15"/>
      <c r="D1" s="15"/>
    </row>
    <row r="2" spans="1:4" x14ac:dyDescent="0.3">
      <c r="A2" s="1"/>
      <c r="B2" s="1"/>
      <c r="C2" s="1"/>
      <c r="D2" s="1"/>
    </row>
    <row r="3" spans="1:4" x14ac:dyDescent="0.3">
      <c r="A3" s="4" t="s">
        <v>166</v>
      </c>
      <c r="B3" s="4" t="s">
        <v>38</v>
      </c>
      <c r="C3" s="4" t="s">
        <v>167</v>
      </c>
      <c r="D3" s="4" t="s">
        <v>95</v>
      </c>
    </row>
    <row r="4" spans="1:4" x14ac:dyDescent="0.3">
      <c r="A4" s="5" t="s">
        <v>16</v>
      </c>
      <c r="B4" s="5" t="s">
        <v>168</v>
      </c>
      <c r="C4" s="5" t="s">
        <v>169</v>
      </c>
      <c r="D4" s="5" t="s">
        <v>170</v>
      </c>
    </row>
    <row r="5" spans="1:4" x14ac:dyDescent="0.3">
      <c r="A5" s="5" t="s">
        <v>20</v>
      </c>
      <c r="B5" s="5" t="s">
        <v>168</v>
      </c>
      <c r="C5" s="5" t="s">
        <v>171</v>
      </c>
      <c r="D5" s="5" t="s">
        <v>172</v>
      </c>
    </row>
    <row r="6" spans="1:4" x14ac:dyDescent="0.3">
      <c r="A6" s="5" t="s">
        <v>17</v>
      </c>
      <c r="B6" s="5" t="s">
        <v>173</v>
      </c>
      <c r="C6" s="5" t="s">
        <v>174</v>
      </c>
      <c r="D6" s="5" t="s">
        <v>175</v>
      </c>
    </row>
    <row r="7" spans="1:4" x14ac:dyDescent="0.3">
      <c r="A7" s="5" t="s">
        <v>21</v>
      </c>
      <c r="B7" s="5" t="s">
        <v>173</v>
      </c>
      <c r="C7" s="5" t="s">
        <v>176</v>
      </c>
      <c r="D7" s="5" t="s">
        <v>177</v>
      </c>
    </row>
    <row r="8" spans="1:4" x14ac:dyDescent="0.3">
      <c r="A8" s="5" t="s">
        <v>24</v>
      </c>
      <c r="B8" s="5" t="s">
        <v>173</v>
      </c>
      <c r="C8" s="5" t="s">
        <v>178</v>
      </c>
      <c r="D8" s="5" t="s">
        <v>179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Settings</vt:lpstr>
      <vt:lpstr>Daily Summary</vt:lpstr>
      <vt:lpstr>Top Events</vt:lpstr>
      <vt:lpstr>Dashboard</vt:lpstr>
      <vt:lpstr>Analysis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Bedjavalge</cp:lastModifiedBy>
  <dcterms:created xsi:type="dcterms:W3CDTF">2026-03-09T11:11:33Z</dcterms:created>
  <dcterms:modified xsi:type="dcterms:W3CDTF">2026-03-15T11:52:29Z</dcterms:modified>
</cp:coreProperties>
</file>